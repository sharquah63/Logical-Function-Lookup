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e9a504b4a53f8a/Documents/"/>
    </mc:Choice>
  </mc:AlternateContent>
  <xr:revisionPtr revIDLastSave="0" documentId="8_{C469FDCD-C844-4C5F-BC78-603DAFDF1D5C}" xr6:coauthVersionLast="47" xr6:coauthVersionMax="47" xr10:uidLastSave="{00000000-0000-0000-0000-000000000000}"/>
  <bookViews>
    <workbookView xWindow="11424" yWindow="0" windowWidth="11712" windowHeight="12336" firstSheet="5" activeTab="7" xr2:uid="{D916CB97-0178-4988-9055-454EB81B952B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8" l="1"/>
  <c r="C2" i="7"/>
  <c r="D3" i="6"/>
  <c r="D4" i="6"/>
  <c r="D2" i="6"/>
  <c r="D2" i="4"/>
  <c r="B1" i="5"/>
  <c r="C3" i="3"/>
  <c r="C4" i="3"/>
  <c r="C5" i="3"/>
  <c r="C6" i="3"/>
  <c r="C2" i="3"/>
  <c r="D3" i="2"/>
  <c r="D4" i="2"/>
  <c r="D5" i="2"/>
  <c r="D2" i="2"/>
  <c r="C3" i="1"/>
  <c r="C4" i="1"/>
  <c r="C5" i="1"/>
  <c r="C6" i="1"/>
  <c r="C2" i="1"/>
</calcChain>
</file>

<file path=xl/sharedStrings.xml><?xml version="1.0" encoding="utf-8"?>
<sst xmlns="http://schemas.openxmlformats.org/spreadsheetml/2006/main" count="67" uniqueCount="47">
  <si>
    <t>Student Name</t>
  </si>
  <si>
    <t>Marks</t>
  </si>
  <si>
    <t>Riya</t>
  </si>
  <si>
    <t>Siya</t>
  </si>
  <si>
    <t>Raju</t>
  </si>
  <si>
    <t>Rahul</t>
  </si>
  <si>
    <t>Ram</t>
  </si>
  <si>
    <t>Result</t>
  </si>
  <si>
    <t>Employee</t>
  </si>
  <si>
    <t>Arjun</t>
  </si>
  <si>
    <t>Simran</t>
  </si>
  <si>
    <t>Rohit</t>
  </si>
  <si>
    <t>Anjali</t>
  </si>
  <si>
    <t>Sales</t>
  </si>
  <si>
    <t>Attendance</t>
  </si>
  <si>
    <t>Bonus</t>
  </si>
  <si>
    <t>Raj</t>
  </si>
  <si>
    <t>Neha</t>
  </si>
  <si>
    <t>Vivek</t>
  </si>
  <si>
    <t>Rani</t>
  </si>
  <si>
    <t>Sneha</t>
  </si>
  <si>
    <t>EmpID</t>
  </si>
  <si>
    <t>E101</t>
  </si>
  <si>
    <t>E102</t>
  </si>
  <si>
    <t>E103</t>
  </si>
  <si>
    <t>E104</t>
  </si>
  <si>
    <t>Sejal</t>
  </si>
  <si>
    <t>Roshni</t>
  </si>
  <si>
    <t>Name</t>
  </si>
  <si>
    <t>Department</t>
  </si>
  <si>
    <t>IT</t>
  </si>
  <si>
    <t>HR</t>
  </si>
  <si>
    <t>Finance</t>
  </si>
  <si>
    <t>Sales Amount</t>
  </si>
  <si>
    <t>Commission Rate</t>
  </si>
  <si>
    <t>Employee Name</t>
  </si>
  <si>
    <t>Alex</t>
  </si>
  <si>
    <t>Bob</t>
  </si>
  <si>
    <t>Anna</t>
  </si>
  <si>
    <t>Leave Taken</t>
  </si>
  <si>
    <t>Leave Allowed</t>
  </si>
  <si>
    <t>Status</t>
  </si>
  <si>
    <t>E105</t>
  </si>
  <si>
    <t>E106</t>
  </si>
  <si>
    <t>Salary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</si>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</sst>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9" fontId="0" fillId="0" borderId="0" xfId="0" applyNumberFormat="1"/>
    <xf numFmtId="9" fontId="0" fillId="0" borderId="0" xfId="1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13</xdr:row>
      <xdr:rowOff>76200</xdr:rowOff>
    </xdr:from>
    <xdr:to>
      <xdr:col>10</xdr:col>
      <xdr:colOff>243840</xdr:colOff>
      <xdr:row>19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3D5D64-902C-2338-AFA3-EDA8109DE7E8}"/>
            </a:ext>
          </a:extLst>
        </xdr:cNvPr>
        <xdr:cNvSpPr txBox="1"/>
      </xdr:nvSpPr>
      <xdr:spPr>
        <a:xfrm>
          <a:off x="480060" y="2453640"/>
          <a:ext cx="6012180" cy="1173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VLOOKUP function is used here. We</a:t>
          </a:r>
          <a:r>
            <a:rPr lang="en-US" sz="1400" baseline="0"/>
            <a:t> use this function because it searches for a value in the first column of a range and returns a value in the same row from another column.</a:t>
          </a:r>
          <a:endParaRPr lang="en-US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CD8E-9860-4537-93E2-3F26789D9A02}">
  <dimension ref="A1:C6"/>
  <sheetViews>
    <sheetView workbookViewId="0">
      <selection activeCell="F18" sqref="F18"/>
    </sheetView>
  </sheetViews>
  <sheetFormatPr defaultRowHeight="14.4" x14ac:dyDescent="0.3"/>
  <cols>
    <col min="1" max="1" width="13.21875" bestFit="1" customWidth="1"/>
  </cols>
  <sheetData>
    <row r="1" spans="1:3" x14ac:dyDescent="0.3">
      <c r="A1" s="1" t="s">
        <v>0</v>
      </c>
      <c r="B1" s="1" t="s">
        <v>1</v>
      </c>
      <c r="C1" s="1" t="s">
        <v>7</v>
      </c>
    </row>
    <row r="2" spans="1:3" x14ac:dyDescent="0.3">
      <c r="A2" t="s">
        <v>2</v>
      </c>
      <c r="B2">
        <v>45</v>
      </c>
      <c r="C2" t="str">
        <f>IF(B2&gt;=40,"Pass", "Fail")</f>
        <v>Pass</v>
      </c>
    </row>
    <row r="3" spans="1:3" x14ac:dyDescent="0.3">
      <c r="A3" t="s">
        <v>3</v>
      </c>
      <c r="B3">
        <v>72</v>
      </c>
      <c r="C3" t="str">
        <f t="shared" ref="C3:C6" si="0">IF(B3&gt;=40,"Pass", "Fail")</f>
        <v>Pass</v>
      </c>
    </row>
    <row r="4" spans="1:3" x14ac:dyDescent="0.3">
      <c r="A4" t="s">
        <v>4</v>
      </c>
      <c r="B4">
        <v>55</v>
      </c>
      <c r="C4" t="str">
        <f t="shared" si="0"/>
        <v>Pass</v>
      </c>
    </row>
    <row r="5" spans="1:3" x14ac:dyDescent="0.3">
      <c r="A5" t="s">
        <v>5</v>
      </c>
      <c r="B5">
        <v>55</v>
      </c>
      <c r="C5" t="str">
        <f t="shared" si="0"/>
        <v>Pass</v>
      </c>
    </row>
    <row r="6" spans="1:3" x14ac:dyDescent="0.3">
      <c r="A6" t="s">
        <v>6</v>
      </c>
      <c r="B6">
        <v>30</v>
      </c>
      <c r="C6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90A8-2168-4C30-A053-C30137D173CD}">
  <dimension ref="A1:D5"/>
  <sheetViews>
    <sheetView zoomScale="90" workbookViewId="0">
      <selection activeCell="E1" sqref="E1"/>
    </sheetView>
  </sheetViews>
  <sheetFormatPr defaultRowHeight="14.4" x14ac:dyDescent="0.3"/>
  <cols>
    <col min="1" max="1" width="9.33203125" bestFit="1" customWidth="1"/>
    <col min="3" max="3" width="10.77734375" bestFit="1" customWidth="1"/>
  </cols>
  <sheetData>
    <row r="1" spans="1:4" x14ac:dyDescent="0.3">
      <c r="A1" s="1" t="s">
        <v>8</v>
      </c>
      <c r="B1" s="1" t="s">
        <v>13</v>
      </c>
      <c r="C1" s="1" t="s">
        <v>14</v>
      </c>
      <c r="D1" s="1" t="s">
        <v>15</v>
      </c>
    </row>
    <row r="2" spans="1:4" x14ac:dyDescent="0.3">
      <c r="A2" t="s">
        <v>9</v>
      </c>
      <c r="B2">
        <v>55000</v>
      </c>
      <c r="C2">
        <v>95</v>
      </c>
      <c r="D2" t="str">
        <f>IF(AND(B2&gt;40000,C2&gt;=90),"Bonus","No Bonus")</f>
        <v>Bonus</v>
      </c>
    </row>
    <row r="3" spans="1:4" x14ac:dyDescent="0.3">
      <c r="A3" t="s">
        <v>10</v>
      </c>
      <c r="B3">
        <v>65000</v>
      </c>
      <c r="C3">
        <v>85</v>
      </c>
      <c r="D3" t="str">
        <f t="shared" ref="D3:D5" si="0">IF(AND(B3&gt;40000,C3&gt;=90),"Bonus","No Bonus")</f>
        <v>No Bonus</v>
      </c>
    </row>
    <row r="4" spans="1:4" x14ac:dyDescent="0.3">
      <c r="A4" t="s">
        <v>11</v>
      </c>
      <c r="B4">
        <v>30000</v>
      </c>
      <c r="C4">
        <v>90</v>
      </c>
      <c r="D4" t="str">
        <f t="shared" si="0"/>
        <v>No Bonus</v>
      </c>
    </row>
    <row r="5" spans="1:4" x14ac:dyDescent="0.3">
      <c r="A5" t="s">
        <v>12</v>
      </c>
      <c r="B5">
        <v>25000</v>
      </c>
      <c r="C5">
        <v>65</v>
      </c>
      <c r="D5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2757-4CBB-455B-AA2E-154E16EB55F3}">
  <dimension ref="A1:C6"/>
  <sheetViews>
    <sheetView workbookViewId="0">
      <selection activeCell="C2" sqref="C2:C6"/>
    </sheetView>
  </sheetViews>
  <sheetFormatPr defaultRowHeight="14.4" x14ac:dyDescent="0.3"/>
  <cols>
    <col min="1" max="1" width="13.21875" bestFit="1" customWidth="1"/>
  </cols>
  <sheetData>
    <row r="1" spans="1:3" x14ac:dyDescent="0.3">
      <c r="A1" s="1" t="s">
        <v>0</v>
      </c>
      <c r="B1" s="1" t="s">
        <v>1</v>
      </c>
      <c r="C1" s="1" t="s">
        <v>7</v>
      </c>
    </row>
    <row r="2" spans="1:3" x14ac:dyDescent="0.3">
      <c r="A2" t="s">
        <v>16</v>
      </c>
      <c r="B2">
        <v>85</v>
      </c>
      <c r="C2" t="str">
        <f>IF(B2&gt;=90,"A", IF(B2&gt;=75,"B",IF(B2&gt;=50,"C","Fail")))</f>
        <v>B</v>
      </c>
    </row>
    <row r="3" spans="1:3" x14ac:dyDescent="0.3">
      <c r="A3" t="s">
        <v>17</v>
      </c>
      <c r="B3">
        <v>96</v>
      </c>
      <c r="C3" t="str">
        <f t="shared" ref="C3:C6" si="0">IF(B3&gt;=90,"A", IF(B3&gt;=75,"B",IF(B3&gt;=50,"C","Fail")))</f>
        <v>A</v>
      </c>
    </row>
    <row r="4" spans="1:3" x14ac:dyDescent="0.3">
      <c r="A4" t="s">
        <v>18</v>
      </c>
      <c r="B4">
        <v>57</v>
      </c>
      <c r="C4" t="str">
        <f t="shared" si="0"/>
        <v>C</v>
      </c>
    </row>
    <row r="5" spans="1:3" x14ac:dyDescent="0.3">
      <c r="A5" t="s">
        <v>19</v>
      </c>
      <c r="B5">
        <v>92</v>
      </c>
      <c r="C5" t="str">
        <f t="shared" si="0"/>
        <v>A</v>
      </c>
    </row>
    <row r="6" spans="1:3" x14ac:dyDescent="0.3">
      <c r="A6" t="s">
        <v>20</v>
      </c>
      <c r="B6">
        <v>75</v>
      </c>
      <c r="C6" t="str">
        <f t="shared" si="0"/>
        <v>B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D5A3-96C4-476D-8CD5-27741F55844D}">
  <dimension ref="A1:D5"/>
  <sheetViews>
    <sheetView workbookViewId="0">
      <selection activeCell="D2" sqref="D2"/>
    </sheetView>
  </sheetViews>
  <sheetFormatPr defaultRowHeight="14.4" x14ac:dyDescent="0.3"/>
  <cols>
    <col min="3" max="3" width="11.109375" bestFit="1" customWidth="1"/>
  </cols>
  <sheetData>
    <row r="1" spans="1:4" x14ac:dyDescent="0.3">
      <c r="A1" s="1" t="s">
        <v>21</v>
      </c>
      <c r="B1" s="1" t="s">
        <v>28</v>
      </c>
      <c r="C1" s="1" t="s">
        <v>29</v>
      </c>
    </row>
    <row r="2" spans="1:4" x14ac:dyDescent="0.3">
      <c r="A2" t="s">
        <v>22</v>
      </c>
      <c r="B2" t="s">
        <v>4</v>
      </c>
      <c r="C2" t="s">
        <v>30</v>
      </c>
      <c r="D2" t="str">
        <f>VLOOKUP("E103",A2:C5,3,FALSE)</f>
        <v>Finance</v>
      </c>
    </row>
    <row r="3" spans="1:4" x14ac:dyDescent="0.3">
      <c r="A3" t="s">
        <v>23</v>
      </c>
      <c r="B3" t="s">
        <v>2</v>
      </c>
      <c r="C3" t="s">
        <v>31</v>
      </c>
    </row>
    <row r="4" spans="1:4" x14ac:dyDescent="0.3">
      <c r="A4" t="s">
        <v>24</v>
      </c>
      <c r="B4" t="s">
        <v>27</v>
      </c>
      <c r="C4" t="s">
        <v>32</v>
      </c>
    </row>
    <row r="5" spans="1:4" x14ac:dyDescent="0.3">
      <c r="A5" t="s">
        <v>25</v>
      </c>
      <c r="B5" t="s">
        <v>26</v>
      </c>
      <c r="C5" t="s">
        <v>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60E62-2836-4AF5-89CC-DB430F96118F}">
  <dimension ref="A1:E5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5.5546875" style="3" bestFit="1" customWidth="1"/>
    <col min="4" max="4" width="12.5546875" bestFit="1" customWidth="1"/>
    <col min="5" max="5" width="15.5546875" bestFit="1" customWidth="1"/>
  </cols>
  <sheetData>
    <row r="1" spans="1:5" x14ac:dyDescent="0.3">
      <c r="A1" s="1">
        <v>45000</v>
      </c>
      <c r="B1" s="4">
        <f>VLOOKUP(A1,$D$1:$E$5,2, TRUE)</f>
        <v>0.1</v>
      </c>
      <c r="D1" s="1" t="s">
        <v>33</v>
      </c>
      <c r="E1" s="1" t="s">
        <v>34</v>
      </c>
    </row>
    <row r="2" spans="1:5" x14ac:dyDescent="0.3">
      <c r="B2" s="4"/>
      <c r="D2">
        <v>0</v>
      </c>
      <c r="E2" s="2">
        <v>0.05</v>
      </c>
    </row>
    <row r="3" spans="1:5" x14ac:dyDescent="0.3">
      <c r="B3" s="4"/>
      <c r="D3">
        <v>20000</v>
      </c>
      <c r="E3" s="2">
        <v>0.1</v>
      </c>
    </row>
    <row r="4" spans="1:5" x14ac:dyDescent="0.3">
      <c r="B4" s="4"/>
      <c r="D4">
        <v>50000</v>
      </c>
      <c r="E4" s="2">
        <v>0.15</v>
      </c>
    </row>
    <row r="5" spans="1:5" x14ac:dyDescent="0.3">
      <c r="B5" s="4"/>
      <c r="D5">
        <v>80000</v>
      </c>
      <c r="E5" s="2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3DA0-02F6-4075-ADB5-3270C25CF0FE}">
  <dimension ref="A1:D4"/>
  <sheetViews>
    <sheetView workbookViewId="0">
      <selection activeCell="B1" sqref="B1:B1048576"/>
    </sheetView>
  </sheetViews>
  <sheetFormatPr defaultRowHeight="14.4" x14ac:dyDescent="0.3"/>
  <cols>
    <col min="1" max="1" width="14.88671875" bestFit="1" customWidth="1"/>
    <col min="2" max="2" width="11.44140625" bestFit="1" customWidth="1"/>
    <col min="3" max="3" width="13.21875" bestFit="1" customWidth="1"/>
  </cols>
  <sheetData>
    <row r="1" spans="1:4" x14ac:dyDescent="0.3">
      <c r="A1" s="1" t="s">
        <v>35</v>
      </c>
      <c r="B1" s="1" t="s">
        <v>39</v>
      </c>
      <c r="C1" s="1" t="s">
        <v>40</v>
      </c>
      <c r="D1" s="1" t="s">
        <v>41</v>
      </c>
    </row>
    <row r="2" spans="1:4" x14ac:dyDescent="0.3">
      <c r="A2" t="s">
        <v>36</v>
      </c>
      <c r="B2">
        <v>10</v>
      </c>
      <c r="C2">
        <v>12</v>
      </c>
      <c r="D2" t="str">
        <f>IF(B2&gt;C2,"Exceeded","OK")</f>
        <v>OK</v>
      </c>
    </row>
    <row r="3" spans="1:4" x14ac:dyDescent="0.3">
      <c r="A3" t="s">
        <v>37</v>
      </c>
      <c r="B3">
        <v>10</v>
      </c>
      <c r="C3">
        <v>15</v>
      </c>
      <c r="D3" t="str">
        <f t="shared" ref="D3:D4" si="0">IF(B3&gt;C3,"Exceeded","OK")</f>
        <v>OK</v>
      </c>
    </row>
    <row r="4" spans="1:4" x14ac:dyDescent="0.3">
      <c r="A4" t="s">
        <v>38</v>
      </c>
      <c r="B4">
        <v>8</v>
      </c>
      <c r="C4">
        <v>12</v>
      </c>
      <c r="D4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D0B8-3140-4166-8F39-53DE9087AE5B}">
  <dimension ref="A1:C5"/>
  <sheetViews>
    <sheetView workbookViewId="0">
      <selection activeCell="F6" sqref="F6"/>
    </sheetView>
  </sheetViews>
  <sheetFormatPr defaultRowHeight="14.4" x14ac:dyDescent="0.3"/>
  <sheetData>
    <row r="1" spans="1:3" x14ac:dyDescent="0.3">
      <c r="A1" s="1" t="s">
        <v>21</v>
      </c>
      <c r="B1" s="1" t="s">
        <v>44</v>
      </c>
      <c r="C1" s="1" t="s">
        <v>7</v>
      </c>
    </row>
    <row r="2" spans="1:3" x14ac:dyDescent="0.3">
      <c r="A2" t="s">
        <v>25</v>
      </c>
      <c r="B2">
        <v>55000</v>
      </c>
      <c r="C2">
        <f>INDEX(B2:B5,MATCH("E105",A2:A5,0))</f>
        <v>72000</v>
      </c>
    </row>
    <row r="3" spans="1:3" x14ac:dyDescent="0.3">
      <c r="A3" t="s">
        <v>42</v>
      </c>
      <c r="B3">
        <v>72000</v>
      </c>
    </row>
    <row r="4" spans="1:3" x14ac:dyDescent="0.3">
      <c r="A4" t="s">
        <v>43</v>
      </c>
      <c r="B4">
        <v>62000</v>
      </c>
    </row>
    <row r="5" spans="1:3" x14ac:dyDescent="0.3">
      <c r="A5" t="s">
        <v>23</v>
      </c>
      <c r="B5">
        <v>41000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B144-CA16-4470-871C-27F612A9DA3D}">
  <dimension ref="A1:C5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s="1" t="s">
        <v>21</v>
      </c>
      <c r="B1" s="1" t="s">
        <v>44</v>
      </c>
      <c r="C1" s="1" t="s">
        <v>7</v>
      </c>
    </row>
    <row r="2" spans="1:3" x14ac:dyDescent="0.3">
      <c r="A2" t="s">
        <v>22</v>
      </c>
      <c r="B2" t="s">
        <v>31</v>
      </c>
      <c r="C2" t="str">
        <f>_xlfn.XLOOKUP("E303",A2:A6,B2:B6)</f>
        <v>IT</v>
      </c>
    </row>
    <row r="3" spans="1:3" x14ac:dyDescent="0.3">
      <c r="A3" t="s">
        <v>45</v>
      </c>
      <c r="B3" t="s">
        <v>30</v>
      </c>
    </row>
    <row r="4" spans="1:3" x14ac:dyDescent="0.3">
      <c r="A4" t="s">
        <v>43</v>
      </c>
      <c r="B4" t="s">
        <v>13</v>
      </c>
    </row>
    <row r="5" spans="1:3" x14ac:dyDescent="0.3">
      <c r="A5" t="s">
        <v>46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Sharqua Perween</dc:creator>
  <cp:lastModifiedBy>Sharqua Perween</cp:lastModifiedBy>
  <dcterms:created xsi:type="dcterms:W3CDTF">2026-01-19T19:00:41Z</dcterms:created>
  <dcterms:modified xsi:type="dcterms:W3CDTF">2026-01-19T20:42:53Z</dcterms:modified>
</cp:coreProperties>
</file>